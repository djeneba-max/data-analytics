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ya\Documents\DataAnalytics\pre-week-2\"/>
    </mc:Choice>
  </mc:AlternateContent>
  <xr:revisionPtr revIDLastSave="0" documentId="13_ncr:1_{BB1BBE6B-A52A-45F0-9E67-64355AF0F819}" xr6:coauthVersionLast="47" xr6:coauthVersionMax="47" xr10:uidLastSave="{00000000-0000-0000-0000-000000000000}"/>
  <bookViews>
    <workbookView xWindow="12710" yWindow="0" windowWidth="12980" windowHeight="15370" activeTab="1" xr2:uid="{00000000-000D-0000-FFFF-FFFF00000000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E1" i="1"/>
</calcChain>
</file>

<file path=xl/sharedStrings.xml><?xml version="1.0" encoding="utf-8"?>
<sst xmlns="http://schemas.openxmlformats.org/spreadsheetml/2006/main" count="26" uniqueCount="26">
  <si>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</si>
  <si>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</si>
  <si>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</si>
  <si>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</si>
  <si>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</si>
  <si>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</si>
  <si>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</si>
  <si>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</si>
  <si>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</si>
  <si>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 xml:space="preserve">Store H 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</si>
  <si>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</si>
  <si>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</si>
  <si>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</si>
  <si>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</si>
  <si>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</si>
  <si>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</si>
  <si>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</si>
  <si>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</si>
  <si>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deviation</t>
  </si>
  <si>
    <t xml:space="preserve">Stdev without Store H </t>
  </si>
  <si>
    <r>
      <t xml:space="preserve">The standard deviation of </t>
    </r>
    <r>
      <rPr>
        <b/>
        <sz val="11"/>
        <color theme="1"/>
        <rFont val="Calibri"/>
        <family val="2"/>
        <scheme val="minor"/>
      </rPr>
      <t>7.63</t>
    </r>
    <r>
      <rPr>
        <sz val="11"/>
        <color theme="1"/>
        <rFont val="Calibri"/>
        <family val="2"/>
        <scheme val="minor"/>
      </rPr>
      <t xml:space="preserve"> shows that the store performances are somewhat spread out.</t>
    </r>
  </si>
  <si>
    <r>
      <t xml:space="preserve">Store H, with monthly sales of </t>
    </r>
    <r>
      <rPr>
        <b/>
        <sz val="11"/>
        <color theme="1"/>
        <rFont val="Calibri"/>
        <family val="2"/>
        <scheme val="minor"/>
      </rPr>
      <t>72</t>
    </r>
    <r>
      <rPr>
        <sz val="11"/>
        <color theme="1"/>
        <rFont val="Calibri"/>
        <family val="2"/>
        <scheme val="minor"/>
      </rPr>
      <t>, is significantly higher than the other stores and strongly influences the results.</t>
    </r>
  </si>
  <si>
    <r>
      <t xml:space="preserve">When Store H is excluded, the standard deviation decreases to approximately </t>
    </r>
    <r>
      <rPr>
        <b/>
        <sz val="11"/>
        <color theme="1"/>
        <rFont val="Calibri"/>
        <family val="2"/>
        <scheme val="minor"/>
      </rPr>
      <t>2.91</t>
    </r>
    <r>
      <rPr>
        <sz val="11"/>
        <color theme="1"/>
        <rFont val="Calibri"/>
        <family val="2"/>
        <scheme val="minor"/>
      </rPr>
      <t>, showing that the other stores are much more tightly grouped.</t>
    </r>
  </si>
  <si>
    <t>To better understand store performance, I would want additional information such as sales trends over time, store size, customer traffic, and factors that could explain differences between stores.</t>
  </si>
  <si>
    <r>
      <t xml:space="preserve">The overall average monthly sales across the stores is approximately </t>
    </r>
    <r>
      <rPr>
        <b/>
        <sz val="11"/>
        <color theme="1"/>
        <rFont val="Calibri"/>
        <family val="2"/>
        <scheme val="minor"/>
      </rPr>
      <t>49.42</t>
    </r>
    <r>
      <rPr>
        <sz val="11"/>
        <color theme="1"/>
        <rFont val="Calibri"/>
        <family val="2"/>
        <scheme val="minor"/>
      </rPr>
      <t>.</t>
    </r>
  </si>
  <si>
    <t>Most stores have sales close to the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</si>
</sst>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D26" sqref="D26"/>
    </sheetView>
  </sheetViews>
  <sheetFormatPr defaultRowHeight="14.5" x14ac:dyDescent="0.35"/>
  <cols>
    <col min="2" max="2" width="16.81640625" customWidth="1"/>
    <col min="4" max="4" width="21.6328125" customWidth="1"/>
  </cols>
  <sheetData>
    <row r="1" spans="1:5" x14ac:dyDescent="0.35">
      <c r="A1" t="s">
        <v>0</v>
      </c>
      <c r="B1" t="s">
        <v>1</v>
      </c>
      <c r="D1" t="s">
        <v>14</v>
      </c>
      <c r="E1">
        <f>AVERAGE(B2:B13)</f>
        <v>49.416666666666664</v>
      </c>
    </row>
    <row r="2" spans="1:5" x14ac:dyDescent="0.35">
      <c r="A2" t="s">
        <v>2</v>
      </c>
      <c r="B2">
        <v>51</v>
      </c>
      <c r="D2" t="s">
        <v>15</v>
      </c>
      <c r="E2">
        <f>MEDIAN(B2:B13)</f>
        <v>47.5</v>
      </c>
    </row>
    <row r="3" spans="1:5" x14ac:dyDescent="0.35">
      <c r="A3" t="s">
        <v>3</v>
      </c>
      <c r="B3">
        <v>44</v>
      </c>
      <c r="D3" t="s">
        <v>16</v>
      </c>
      <c r="E3">
        <f>_xlfn.MODE.SNGL(B2:B13)</f>
        <v>46</v>
      </c>
    </row>
    <row r="4" spans="1:5" x14ac:dyDescent="0.35">
      <c r="A4" t="s">
        <v>4</v>
      </c>
      <c r="B4">
        <v>49</v>
      </c>
      <c r="D4" t="s">
        <v>17</v>
      </c>
      <c r="E4">
        <f>MAX(B2:B13) - MIN(B2:B13)</f>
        <v>29</v>
      </c>
    </row>
    <row r="5" spans="1:5" x14ac:dyDescent="0.35">
      <c r="A5" t="s">
        <v>5</v>
      </c>
      <c r="B5">
        <v>46</v>
      </c>
      <c r="D5" t="s">
        <v>18</v>
      </c>
      <c r="E5">
        <f>_xlfn.STDEV.S(B2:B13)</f>
        <v>7.6331613054586773</v>
      </c>
    </row>
    <row r="6" spans="1:5" x14ac:dyDescent="0.35">
      <c r="A6" t="s">
        <v>6</v>
      </c>
      <c r="B6">
        <v>52</v>
      </c>
      <c r="D6" t="s">
        <v>19</v>
      </c>
      <c r="E6">
        <f>_xlfn.STDEV.S(B2:B8,B10:B13)</f>
        <v>2.9076701075853588</v>
      </c>
    </row>
    <row r="7" spans="1:5" x14ac:dyDescent="0.35">
      <c r="A7" t="s">
        <v>7</v>
      </c>
      <c r="B7">
        <v>47</v>
      </c>
    </row>
    <row r="8" spans="1:5" x14ac:dyDescent="0.35">
      <c r="A8" t="s">
        <v>8</v>
      </c>
      <c r="B8">
        <v>45</v>
      </c>
    </row>
    <row r="9" spans="1:5" x14ac:dyDescent="0.35">
      <c r="A9" t="s">
        <v>9</v>
      </c>
      <c r="B9">
        <v>72</v>
      </c>
    </row>
    <row r="10" spans="1:5" x14ac:dyDescent="0.35">
      <c r="A10" t="s">
        <v>10</v>
      </c>
      <c r="B10">
        <v>43</v>
      </c>
    </row>
    <row r="11" spans="1:5" x14ac:dyDescent="0.35">
      <c r="A11" t="s">
        <v>11</v>
      </c>
      <c r="B11">
        <v>48</v>
      </c>
    </row>
    <row r="12" spans="1:5" x14ac:dyDescent="0.35">
      <c r="A12" t="s">
        <v>12</v>
      </c>
      <c r="B12">
        <v>46</v>
      </c>
    </row>
    <row r="13" spans="1:5" x14ac:dyDescent="0.35">
      <c r="A13" t="s">
        <v>13</v>
      </c>
      <c r="B13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B400-2C89-4E11-93DC-51493D337F3B}">
  <dimension ref="B3:B13"/>
  <sheetViews>
    <sheetView tabSelected="1" workbookViewId="0">
      <selection activeCell="G19" sqref="G19"/>
    </sheetView>
  </sheetViews>
  <sheetFormatPr defaultRowHeight="14.5" x14ac:dyDescent="0.35"/>
  <sheetData>
    <row r="3" spans="2:2" x14ac:dyDescent="0.35">
      <c r="B3" s="1" t="s">
        <v>24</v>
      </c>
    </row>
    <row r="4" spans="2:2" x14ac:dyDescent="0.35">
      <c r="B4" s="1"/>
    </row>
    <row r="5" spans="2:2" x14ac:dyDescent="0.35">
      <c r="B5" s="1" t="s">
        <v>25</v>
      </c>
    </row>
    <row r="6" spans="2:2" x14ac:dyDescent="0.35">
      <c r="B6" s="1"/>
    </row>
    <row r="7" spans="2:2" x14ac:dyDescent="0.35">
      <c r="B7" s="1" t="s">
        <v>20</v>
      </c>
    </row>
    <row r="8" spans="2:2" x14ac:dyDescent="0.35">
      <c r="B8" s="1"/>
    </row>
    <row r="9" spans="2:2" x14ac:dyDescent="0.35">
      <c r="B9" s="1" t="s">
        <v>21</v>
      </c>
    </row>
    <row r="10" spans="2:2" x14ac:dyDescent="0.35">
      <c r="B10" s="1"/>
    </row>
    <row r="11" spans="2:2" x14ac:dyDescent="0.35">
      <c r="B11" s="1" t="s">
        <v>22</v>
      </c>
    </row>
    <row r="12" spans="2:2" x14ac:dyDescent="0.35">
      <c r="B12" s="1"/>
    </row>
    <row r="13" spans="2:2" x14ac:dyDescent="0.35">
      <c r="B1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djeneba sacko</cp:lastModifiedBy>
  <dcterms:created xsi:type="dcterms:W3CDTF">2015-06-05T18:17:20Z</dcterms:created>
  <dcterms:modified xsi:type="dcterms:W3CDTF">2026-10-07T02:47:41Z</dcterms:modified>
</cp:coreProperties>
</file>