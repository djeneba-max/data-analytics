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ya\Documents\DataAnalytics\week-01\"/>
    </mc:Choice>
  </mc:AlternateContent>
  <xr:revisionPtr revIDLastSave="0" documentId="13_ncr:1_{88D3FEB6-FB49-4878-ABF5-B237F4A3ACE5}" xr6:coauthVersionLast="47" xr6:coauthVersionMax="47" xr10:uidLastSave="{00000000-0000-0000-0000-000000000000}"/>
  <bookViews>
    <workbookView xWindow="1900" yWindow="1900" windowWidth="19200" windowHeight="11170" xr2:uid="{00000000-000D-0000-FFFF-FFFF00000000}"/>
  </bookViews>
  <sheets>
    <sheet name="Charts" sheetId="2" r:id="rId1"/>
    <sheet name="Survey_data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 a="1"/>
  <c r="I20" i="1"/>
  <c r="H20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D1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<sst xmlns="http://schemas.openxmlformats.org/spreadsheetml/2006/main" count="152" uniqueCount="52">
  <si>
    <t>Id</t>
  </si>
  <si>
    <t>Start time</t>
  </si>
  <si>
    <t>Completion time</t>
  </si>
  <si>
    <t>Time to complete</t>
  </si>
  <si>
    <t>Email</t>
  </si>
  <si>
    <t>Name</t>
  </si>
  <si>
    <t xml:space="preserve">Overall satisfaction — How satisfied are you with your overall experience at Pitaya Thai Street Food?
</t>
  </si>
  <si>
    <t xml:space="preserve">Food quality — How would you rate the taste and quality of our food?
</t>
  </si>
  <si>
    <t xml:space="preserve">Value for money — How would you rate the value for money at Pitaya Thai Street Food?
</t>
  </si>
  <si>
    <t xml:space="preserve">Visit frequency — How often do you visit Pitaya Thai Street Food?
</t>
  </si>
  <si>
    <t xml:space="preserve">Your favorite dishes — What are your favorite menu items at Pitaya Thai Street Food?
</t>
  </si>
  <si>
    <t xml:space="preserve">Loyalty program participation — How likely would you be to join a loyalty program?
</t>
  </si>
  <si>
    <t xml:space="preserve">Rewards preferences — Which type of reward would you prefer in a loyalty program?
</t>
  </si>
  <si>
    <t xml:space="preserve">Suggestions — What could we do to improve your experience or make our rewards program more appealing?
</t>
  </si>
  <si>
    <t>anonymous</t>
  </si>
  <si>
    <t>Excellent</t>
  </si>
  <si>
    <t>Good value</t>
  </si>
  <si>
    <t>First time</t>
  </si>
  <si>
    <t>Likely</t>
  </si>
  <si>
    <t>A free meal after a certain number of purchases</t>
  </si>
  <si>
    <t>15% off when you sign up</t>
  </si>
  <si>
    <t>Very good value</t>
  </si>
  <si>
    <t>2-3 times a month</t>
  </si>
  <si>
    <t>Very likely</t>
  </si>
  <si>
    <t>Option to choose more than one reward.</t>
  </si>
  <si>
    <t>About once a month or less</t>
  </si>
  <si>
    <t>Discounts on future orders</t>
  </si>
  <si>
    <t>I’d love to see more personalized rewards, occasional exclusive offers, and points that can be redeemed more easily. Overall, a simple and rewarding program that makes customers feel appreciated would make the experience even better.</t>
  </si>
  <si>
    <t>Several times a month</t>
  </si>
  <si>
    <t>Chicken Pad Thai</t>
  </si>
  <si>
    <t>Points earned with every purchase</t>
  </si>
  <si>
    <t>Offer tea options, such as mint tea.</t>
  </si>
  <si>
    <t>Beef Noodles</t>
  </si>
  <si>
    <t>Good</t>
  </si>
  <si>
    <t>Fair value</t>
  </si>
  <si>
    <t>Shrimp Pad Thai</t>
  </si>
  <si>
    <t>Not sure</t>
  </si>
  <si>
    <t>Personalized rewards depending on the client preferences.</t>
  </si>
  <si>
    <t>Special offers on my favorite dishes</t>
  </si>
  <si>
    <t>Average</t>
  </si>
  <si>
    <t>Vegetarian Stir-Fried Noodles</t>
  </si>
  <si>
    <t xml:space="preserve">The vegetables were dry. </t>
  </si>
  <si>
    <t xml:space="preserve">Improve quality food </t>
  </si>
  <si>
    <t>Add more drinks to your menu</t>
  </si>
  <si>
    <t xml:space="preserve">Include more drinking options like refreshment </t>
  </si>
  <si>
    <t>Chicken Fried Rice</t>
  </si>
  <si>
    <t>I am a big eater so the more food I can get with a decent amount the more likely I will want to come often.</t>
  </si>
  <si>
    <t>Good &amp; Excellent=</t>
  </si>
  <si>
    <t>Average number rating</t>
  </si>
  <si>
    <t>Row Labels</t>
  </si>
  <si>
    <t>Grand Total</t>
  </si>
  <si>
    <t>Count of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</si>
</sst>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4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28" formatCode="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[PitayaThaiStreetFood_CustomerSurvey.xlsx]Charts!PivotTable1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Loyalty program participation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FF-464F-AEF9-0DB212D9BC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FF-464F-AEF9-0DB212D9BC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FF-464F-AEF9-0DB212D9BC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Charts!$A$2:$A$5</c:f>
              <c:strCache>
                <c:ptCount val="3"/>
                <c:pt idx="0">
                  <c:v>Likely</c:v>
                </c:pt>
                <c:pt idx="1">
                  <c:v>Not sure</c:v>
                </c:pt>
                <c:pt idx="2">
                  <c:v>Very likely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3"/>
                <c:pt idx="0">
                  <c:v>9</c:v>
                </c:pt>
                <c:pt idx="1">
                  <c:v>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C-4BDC-A4B2-D3CF030E1AB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[PitayaThaiStreetFood_CustomerSurvey.xlsx]Charts!PivotTable2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Charts!$F$26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Charts!$E$27:$E$31</c:f>
              <c:strCache>
                <c:ptCount val="4"/>
                <c:pt idx="0">
                  <c:v>2-3 times a month</c:v>
                </c:pt>
                <c:pt idx="1">
                  <c:v>About once a month or less</c:v>
                </c:pt>
                <c:pt idx="2">
                  <c:v>First time</c:v>
                </c:pt>
                <c:pt idx="3">
                  <c:v>Several times a month</c:v>
                </c:pt>
              </c:strCache>
            </c:strRef>
          </c:cat>
          <c:val>
            <c:numRef>
              <c:f>Charts!$F$27:$F$31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B-4B09-A8CA-C148314A3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79231"/>
        <c:axId val="38267231"/>
      </c:barChart>
      <c:catAx>
        <c:axId val="3827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67231"/>
        <c:crosses val="autoZero"/>
        <c:auto val="1"/>
        <c:lblAlgn val="ctr"/>
        <c:lblOffset val="100"/>
        <c:noMultiLvlLbl val="0"/>
      </c:catAx>
      <c:valAx>
        <c:axId val="3826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61702-B2B3-81E4-DCC9-E6AC50D4A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69856</xdr:colOff>
      <xdr:row>31</xdr:row>
      <xdr:rowOff>149225</xdr:rowOff>
    </xdr:from>
    <xdr:to>
      <xdr:col>11</xdr:col>
      <xdr:colOff>374656</xdr:colOff>
      <xdr:row>46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44ED1C-BDB3-073E-AEDC-17F2DC270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a" refreshedDate="46312.468913310186" createdVersion="8" refreshedVersion="8" minRefreshableVersion="3" recordCount="17" xr:uid="{425FE254-A654-4A9D-8B77-987542B11944}">
  <cacheSource type="worksheet">
    <worksheetSource name="OfficeForms.Table"/>
  </cacheSource>
  <cacheFields count="14">
    <cacheField name="Id" numFmtId="0">
      <sharedItems containsSemiMixedTypes="0" containsString="0" containsNumber="1" containsInteger="1" minValue="1" maxValue="17"/>
    </cacheField>
    <cacheField name="Start time" numFmtId="164">
      <sharedItems containsSemiMixedTypes="0" containsNonDate="0" containsDate="1" containsString="0" minDate="2026-10-16T00:10:52" maxDate="2026-10-17T09:52:42"/>
    </cacheField>
    <cacheField name="Completion time" numFmtId="164">
      <sharedItems containsSemiMixedTypes="0" containsNonDate="0" containsDate="1" containsString="0" minDate="2026-10-16T00:13:12" maxDate="2026-10-17T09:58:44"/>
    </cacheField>
    <cacheField name="Time to complete" numFmtId="45">
      <sharedItems containsSemiMixedTypes="0" containsNonDate="0" containsDate="1" containsString="0" minDate="1899-12-30T00:00:47" maxDate="1899-12-30T00:06:02"/>
    </cacheField>
    <cacheField name="Email" numFmtId="0">
      <sharedItems/>
    </cacheField>
    <cacheField name="Name" numFmtId="0">
      <sharedItems containsNonDate="0" containsString="0" containsBlank="1"/>
    </cacheField>
    <cacheField name="Overall satisfaction — How satisfied are you with your overall experience at Pitaya Thai Street Food?_x000a_" numFmtId="0">
      <sharedItems containsSemiMixedTypes="0" containsString="0" containsNumber="1" containsInteger="1" minValue="2" maxValue="5"/>
    </cacheField>
    <cacheField name="Food quality — How would you rate the taste and quality of our food?_x000a_" numFmtId="0">
      <sharedItems/>
    </cacheField>
    <cacheField name="Value for money — How would you rate the value for money at Pitaya Thai Street Food?_x000a_" numFmtId="0">
      <sharedItems/>
    </cacheField>
    <cacheField name="Visit frequency — How often do you visit Pitaya Thai Street Food?_x000a_" numFmtId="0">
      <sharedItems count="4">
        <s v="First time"/>
        <s v="2-3 times a month"/>
        <s v="About once a month or less"/>
        <s v="Several times a month"/>
      </sharedItems>
    </cacheField>
    <cacheField name="Your favorite dishes — What are your favorite menu items at Pitaya Thai Street Food?_x000a_" numFmtId="0">
      <sharedItems containsBlank="1"/>
    </cacheField>
    <cacheField name="Loyalty program participation — How likely would you be to join a loyalty program?_x000a_" numFmtId="0">
      <sharedItems count="3">
        <s v="Likely"/>
        <s v="Very likely"/>
        <s v="Not sure"/>
      </sharedItems>
    </cacheField>
    <cacheField name="Rewards preferences — Which type of reward would you prefer in a loyalty program?_x000a_" numFmtId="0">
      <sharedItems/>
    </cacheField>
    <cacheField name="Suggestions — What could we do to improve your experience or make our rewards program more appealing?_x000a_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d v="2026-10-16T00:10:52"/>
    <d v="2026-10-16T00:13:12"/>
    <d v="1899-12-30T00:02:20"/>
    <s v="anonymous"/>
    <m/>
    <n v="5"/>
    <s v="Excellent"/>
    <s v="Good value"/>
    <x v="0"/>
    <m/>
    <x v="0"/>
    <s v="A free meal after a certain number of purchases"/>
    <s v="15% off when you sign up"/>
  </r>
  <r>
    <n v="2"/>
    <d v="2026-10-16T13:44:53"/>
    <d v="2026-10-16T13:47:54"/>
    <d v="1899-12-30T00:03:01"/>
    <s v="anonymous"/>
    <m/>
    <n v="5"/>
    <s v="Excellent"/>
    <s v="Very good value"/>
    <x v="1"/>
    <m/>
    <x v="1"/>
    <s v="A free meal after a certain number of purchases"/>
    <s v="Option to choose more than one reward."/>
  </r>
  <r>
    <n v="3"/>
    <d v="2026-10-16T16:54:06"/>
    <d v="2026-10-16T16:57:58"/>
    <d v="1899-12-30T00:03:52"/>
    <s v="anonymous"/>
    <m/>
    <n v="4"/>
    <s v="Excellent"/>
    <s v="Good value"/>
    <x v="2"/>
    <m/>
    <x v="0"/>
    <s v="A free meal after a certain number of purchases"/>
    <m/>
  </r>
  <r>
    <n v="4"/>
    <d v="2026-10-16T17:22:38"/>
    <d v="2026-10-16T17:24:12"/>
    <d v="1899-12-30T00:01:34"/>
    <s v="anonymous"/>
    <m/>
    <n v="5"/>
    <s v="Excellent"/>
    <s v="Good value"/>
    <x v="1"/>
    <m/>
    <x v="0"/>
    <s v="Discounts on future orders"/>
    <s v="I’d love to see more personalized rewards, occasional exclusive offers, and points that can be redeemed more easily. Overall, a simple and rewarding program that makes customers feel appreciated would make the experience even better."/>
  </r>
  <r>
    <n v="5"/>
    <d v="2026-10-16T17:23:32"/>
    <d v="2026-10-16T17:24:36"/>
    <d v="1899-12-30T00:01:04"/>
    <s v="anonymous"/>
    <m/>
    <n v="5"/>
    <s v="Excellent"/>
    <s v="Very good value"/>
    <x v="1"/>
    <m/>
    <x v="1"/>
    <s v="Discounts on future orders"/>
    <m/>
  </r>
  <r>
    <n v="6"/>
    <d v="2026-10-16T17:42:13"/>
    <d v="2026-10-16T17:45:45"/>
    <d v="1899-12-30T00:03:32"/>
    <s v="anonymous"/>
    <m/>
    <n v="4"/>
    <s v="Excellent"/>
    <s v="Good value"/>
    <x v="3"/>
    <s v="Chicken Pad Thai"/>
    <x v="1"/>
    <s v="Points earned with every purchase"/>
    <s v="Offer tea options, such as mint tea."/>
  </r>
  <r>
    <n v="7"/>
    <d v="2026-10-16T17:51:35"/>
    <d v="2026-10-16T17:52:22"/>
    <d v="1899-12-30T00:00:47"/>
    <s v="anonymous"/>
    <m/>
    <n v="5"/>
    <s v="Excellent"/>
    <s v="Very good value"/>
    <x v="3"/>
    <s v="Beef Noodles"/>
    <x v="1"/>
    <s v="Discounts on future orders"/>
    <m/>
  </r>
  <r>
    <n v="8"/>
    <d v="2026-10-16T18:03:34"/>
    <d v="2026-10-16T18:05:21"/>
    <d v="1899-12-30T00:01:47"/>
    <s v="anonymous"/>
    <m/>
    <n v="5"/>
    <s v="Excellent"/>
    <s v="Very good value"/>
    <x v="0"/>
    <s v="Chicken Pad Thai"/>
    <x v="0"/>
    <s v="A free meal after a certain number of purchases"/>
    <m/>
  </r>
  <r>
    <n v="9"/>
    <d v="2026-10-16T18:37:58"/>
    <d v="2026-10-16T18:38:54"/>
    <d v="1899-12-30T00:00:56"/>
    <s v="anonymous"/>
    <m/>
    <n v="4"/>
    <s v="Good"/>
    <s v="Fair value"/>
    <x v="0"/>
    <s v="Shrimp Pad Thai"/>
    <x v="2"/>
    <s v="A free meal after a certain number of purchases"/>
    <s v="Personalized rewards depending on the client preferences."/>
  </r>
  <r>
    <n v="10"/>
    <d v="2026-10-16T19:40:59"/>
    <d v="2026-10-16T19:41:54"/>
    <d v="1899-12-30T00:00:55"/>
    <s v="anonymous"/>
    <m/>
    <n v="4"/>
    <s v="Good"/>
    <s v="Good value"/>
    <x v="2"/>
    <s v="Shrimp Pad Thai"/>
    <x v="0"/>
    <s v="A free meal after a certain number of purchases"/>
    <m/>
  </r>
  <r>
    <n v="11"/>
    <d v="2026-10-16T20:57:16"/>
    <d v="2026-10-16T20:58:05"/>
    <d v="1899-12-30T00:00:49"/>
    <s v="anonymous"/>
    <m/>
    <n v="5"/>
    <s v="Excellent"/>
    <s v="Good value"/>
    <x v="1"/>
    <s v="Beef Noodles"/>
    <x v="0"/>
    <s v="Special offers on my favorite dishes"/>
    <m/>
  </r>
  <r>
    <n v="12"/>
    <d v="2026-10-16T21:35:55"/>
    <d v="2026-10-16T21:37:40"/>
    <d v="1899-12-30T00:01:45"/>
    <s v="anonymous"/>
    <m/>
    <n v="2"/>
    <s v="Average"/>
    <s v="Good value"/>
    <x v="0"/>
    <s v="Vegetarian Stir-Fried Noodles"/>
    <x v="2"/>
    <s v="Discounts on future orders"/>
    <s v="The vegetables were dry. "/>
  </r>
  <r>
    <n v="13"/>
    <d v="2026-10-16T21:37:53"/>
    <d v="2026-10-16T21:38:49"/>
    <d v="1899-12-30T00:00:56"/>
    <s v="anonymous"/>
    <m/>
    <n v="3"/>
    <s v="Good"/>
    <s v="Fair value"/>
    <x v="2"/>
    <s v="Beef Noodles"/>
    <x v="0"/>
    <s v="Points earned with every purchase"/>
    <m/>
  </r>
  <r>
    <n v="14"/>
    <d v="2026-10-16T22:20:55"/>
    <d v="2026-10-16T22:22:19"/>
    <d v="1899-12-30T00:01:24"/>
    <s v="anonymous"/>
    <m/>
    <n v="3"/>
    <s v="Average"/>
    <s v="Good value"/>
    <x v="0"/>
    <s v="Shrimp Pad Thai"/>
    <x v="0"/>
    <s v="Special offers on my favorite dishes"/>
    <s v="Improve quality food "/>
  </r>
  <r>
    <n v="15"/>
    <d v="2026-10-16T22:23:31"/>
    <d v="2026-10-16T22:26:58"/>
    <d v="1899-12-30T00:03:27"/>
    <s v="anonymous"/>
    <m/>
    <n v="5"/>
    <s v="Good"/>
    <s v="Good value"/>
    <x v="3"/>
    <s v="Chicken Pad Thai"/>
    <x v="1"/>
    <s v="Points earned with every purchase"/>
    <s v="Add more drinks to your menu"/>
  </r>
  <r>
    <n v="16"/>
    <d v="2026-10-16T22:55:03"/>
    <d v="2026-10-16T22:56:31"/>
    <d v="1899-12-30T00:01:28"/>
    <s v="anonymous"/>
    <m/>
    <n v="4"/>
    <s v="Good"/>
    <s v="Fair value"/>
    <x v="2"/>
    <s v="Shrimp Pad Thai"/>
    <x v="1"/>
    <s v="A free meal after a certain number of purchases"/>
    <s v="Include more drinking options like refreshment "/>
  </r>
  <r>
    <n v="17"/>
    <d v="2026-10-17T09:52:42"/>
    <d v="2026-10-17T09:58:44"/>
    <d v="1899-12-30T00:06:02"/>
    <s v="anonymous"/>
    <m/>
    <n v="5"/>
    <s v="Good"/>
    <s v="Good value"/>
    <x v="2"/>
    <s v="Chicken Fried Rice"/>
    <x v="0"/>
    <s v="Special offers on my favorite dishes"/>
    <s v="I am a big eater so the more food I can get with a decent amount the more likely I will want to come often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01F69-EB6A-4AE8-AA69-FF68EAFDB77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26:F31" firstHeaderRow="1" firstDataRow="1" firstDataCol="1"/>
  <pivotFields count="14">
    <pivotField showAll="0"/>
    <pivotField numFmtId="164" showAll="0"/>
    <pivotField numFmtId="164" showAll="0"/>
    <pivotField numFmtId="45"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ail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686DC-30E2-49CD-B59B-DC265E0B0A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14">
    <pivotField showAll="0"/>
    <pivotField numFmtId="164" showAll="0"/>
    <pivotField numFmtId="164" showAll="0"/>
    <pivotField numFmtId="45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ail" fld="4" subtotal="count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19" totalsRowCount="1">
  <autoFilter ref="A1:N18" xr:uid="{00000000-0009-0000-0100-000001000000}"/>
  <tableColumns count="14">
    <tableColumn id="1" xr3:uid="{00000000-0010-0000-0000-000001000000}" name="Id" dataDxfId="24">
      <calculatedColumnFormula>ROW() - ROW(OfficeForms.Table[[#Headers],[Id]])</calculatedColumnFormula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3" totalsRowDxfId="22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1" totalsRowDxfId="20">
      <extLst>
        <ext xmlns:xlmsforms="http://schemas.microsoft.com/office/spreadsheetml/2023/msForms" uri="{FCC71383-01E1-4257-9335-427F07BE8D7F}">
          <xlmsforms:question id="submitDate"/>
        </ext>
      </extLst>
    </tableColumn>
    <tableColumn id="14" xr3:uid="{AF4AFD0E-7520-4D67-8B44-6E1F2523DD4E}" name="Time to complete" totalsRowFunction="custom" dataDxfId="19" totalsRowDxfId="18">
      <calculatedColumnFormula>C2-B2</calculatedColumnFormula>
      <totalsRowFormula>AVERAGE(D2:D18)</totalsRowFormula>
    </tableColumn>
    <tableColumn id="4" xr3:uid="{00000000-0010-0000-0000-000004000000}" name="Email" dataDxfId="17" totalsRowDxfId="1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5" totalsRowDxfId="1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Overall satisfaction — How satisfied are you with your overall experience at Pitaya Thai Street Food?_x000a_" dataDxfId="13">
      <extLst>
        <ext xmlns:xlmsforms="http://schemas.microsoft.com/office/spreadsheetml/2023/msForms" uri="{FCC71383-01E1-4257-9335-427F07BE8D7F}">
          <xlmsforms:question id="rdfbf21572b3e4884864ca823936a9cfa"/>
        </ext>
      </extLst>
    </tableColumn>
    <tableColumn id="7" xr3:uid="{00000000-0010-0000-0000-000007000000}" name="Food quality — How would you rate the taste and quality of our food?_x000a_" totalsRowLabel="Good &amp; Excellent=" dataDxfId="12">
      <extLst>
        <ext xmlns:xlmsforms="http://schemas.microsoft.com/office/spreadsheetml/2023/msForms" uri="{FCC71383-01E1-4257-9335-427F07BE8D7F}">
          <xlmsforms:question id="r60eda2044bd54929a2806210ea81e153"/>
        </ext>
      </extLst>
    </tableColumn>
    <tableColumn id="8" xr3:uid="{00000000-0010-0000-0000-000008000000}" name="Value for money — How would you rate the value for money at Pitaya Thai Street Food?_x000a_" totalsRowLabel="Average number rating" dataDxfId="11" totalsRowDxfId="10">
      <extLst>
        <ext xmlns:xlmsforms="http://schemas.microsoft.com/office/spreadsheetml/2023/msForms" uri="{FCC71383-01E1-4257-9335-427F07BE8D7F}">
          <xlmsforms:question id="r131a0a537f384f879c9abdb7620ceb9b"/>
        </ext>
      </extLst>
    </tableColumn>
    <tableColumn id="9" xr3:uid="{00000000-0010-0000-0000-000009000000}" name="Visit frequency — How often do you visit Pitaya Thai Street Food?_x000a_" dataDxfId="9" totalsRowDxfId="8">
      <extLst>
        <ext xmlns:xlmsforms="http://schemas.microsoft.com/office/spreadsheetml/2023/msForms" uri="{FCC71383-01E1-4257-9335-427F07BE8D7F}">
          <xlmsforms:question id="r401cec7a7775483489b3aecf3d55c786"/>
        </ext>
      </extLst>
    </tableColumn>
    <tableColumn id="10" xr3:uid="{00000000-0010-0000-0000-00000A000000}" name="Your favorite dishes — What are your favorite menu items at Pitaya Thai Street Food?_x000a_" dataDxfId="7" totalsRowDxfId="6">
      <extLst>
        <ext xmlns:xlmsforms="http://schemas.microsoft.com/office/spreadsheetml/2023/msForms" uri="{FCC71383-01E1-4257-9335-427F07BE8D7F}">
          <xlmsforms:question id="r6681ff3c201e488cb94a4990d516e241"/>
        </ext>
      </extLst>
    </tableColumn>
    <tableColumn id="11" xr3:uid="{00000000-0010-0000-0000-00000B000000}" name="Loyalty program participation — How likely would you be to join a loyalty program?_x000a_" dataDxfId="5" totalsRowDxfId="4">
      <extLst>
        <ext xmlns:xlmsforms="http://schemas.microsoft.com/office/spreadsheetml/2023/msForms" uri="{FCC71383-01E1-4257-9335-427F07BE8D7F}">
          <xlmsforms:question id="rbc244f4073f14e00a048eb3b66b1f682"/>
        </ext>
      </extLst>
    </tableColumn>
    <tableColumn id="12" xr3:uid="{00000000-0010-0000-0000-00000C000000}" name="Rewards preferences — Which type of reward would you prefer in a loyalty program?_x000a_" dataDxfId="3" totalsRowDxfId="2">
      <extLst>
        <ext xmlns:xlmsforms="http://schemas.microsoft.com/office/spreadsheetml/2023/msForms" uri="{FCC71383-01E1-4257-9335-427F07BE8D7F}">
          <xlmsforms:question id="r1046d60970944e78a618beb2fc4764c6"/>
        </ext>
      </extLst>
    </tableColumn>
    <tableColumn id="13" xr3:uid="{00000000-0010-0000-0000-00000D000000}" name="Suggestions — What could we do to improve your experience or make our rewards program more appealing?_x000a_" dataDxfId="1" totalsRowDxfId="0">
      <extLst>
        <ext xmlns:xlmsforms="http://schemas.microsoft.com/office/spreadsheetml/2023/msForms" uri="{FCC71383-01E1-4257-9335-427F07BE8D7F}">
          <xlmsforms:question id="rc7ed1990e1d344f8b700195cb8347d6f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0SkBRzqPLpCi9H6cG_vnY5UMzlTNENIVVJCQkdUU1lWUUYzQ1g4MkM3MC4u" isFormConnected="1" maxResponseId="18" latestEventMarker="2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rdfbf21572b3e4884864ca823936a9cfa</xlmsforms:syncedQuestionId>
        <xlmsforms:syncedQuestionId>r60eda2044bd54929a2806210ea81e153</xlmsforms:syncedQuestionId>
        <xlmsforms:syncedQuestionId>r131a0a537f384f879c9abdb7620ceb9b</xlmsforms:syncedQuestionId>
        <xlmsforms:syncedQuestionId>r401cec7a7775483489b3aecf3d55c786</xlmsforms:syncedQuestionId>
        <xlmsforms:syncedQuestionId>r6681ff3c201e488cb94a4990d516e241</xlmsforms:syncedQuestionId>
        <xlmsforms:syncedQuestionId>rbc244f4073f14e00a048eb3b66b1f682</xlmsforms:syncedQuestionId>
        <xlmsforms:syncedQuestionId>r1046d60970944e78a618beb2fc4764c6</xlmsforms:syncedQuestionId>
        <xlmsforms:syncedQuestionId>rc7ed1990e1d344f8b700195cb8347d6f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F8DA-7A36-4A90-81B4-DEEE4D0FD07A}">
  <dimension ref="A1:F31"/>
  <sheetViews>
    <sheetView tabSelected="1" topLeftCell="C1" workbookViewId="0">
      <selection activeCell="J27" sqref="J27"/>
    </sheetView>
  </sheetViews>
  <sheetFormatPr defaultRowHeight="14.5" x14ac:dyDescent="0.35"/>
  <cols>
    <col min="1" max="1" width="12.36328125" bestFit="1" customWidth="1"/>
    <col min="2" max="2" width="13.1796875" bestFit="1" customWidth="1"/>
    <col min="5" max="5" width="23.90625" bestFit="1" customWidth="1"/>
    <col min="6" max="6" width="13.1796875" bestFit="1" customWidth="1"/>
  </cols>
  <sheetData>
    <row r="1" spans="1:2" x14ac:dyDescent="0.35">
      <c r="A1" s="5" t="s">
        <v>49</v>
      </c>
      <c r="B1" t="s">
        <v>51</v>
      </c>
    </row>
    <row r="2" spans="1:2" x14ac:dyDescent="0.35">
      <c r="A2" s="6" t="s">
        <v>18</v>
      </c>
      <c r="B2">
        <v>9</v>
      </c>
    </row>
    <row r="3" spans="1:2" x14ac:dyDescent="0.35">
      <c r="A3" s="6" t="s">
        <v>36</v>
      </c>
      <c r="B3">
        <v>2</v>
      </c>
    </row>
    <row r="4" spans="1:2" x14ac:dyDescent="0.35">
      <c r="A4" s="6" t="s">
        <v>23</v>
      </c>
      <c r="B4">
        <v>6</v>
      </c>
    </row>
    <row r="5" spans="1:2" x14ac:dyDescent="0.35">
      <c r="A5" s="6" t="s">
        <v>50</v>
      </c>
      <c r="B5">
        <v>17</v>
      </c>
    </row>
    <row r="26" spans="5:6" x14ac:dyDescent="0.35">
      <c r="E26" s="5" t="s">
        <v>49</v>
      </c>
      <c r="F26" t="s">
        <v>51</v>
      </c>
    </row>
    <row r="27" spans="5:6" x14ac:dyDescent="0.35">
      <c r="E27" s="6" t="s">
        <v>22</v>
      </c>
      <c r="F27">
        <v>4</v>
      </c>
    </row>
    <row r="28" spans="5:6" x14ac:dyDescent="0.35">
      <c r="E28" s="6" t="s">
        <v>25</v>
      </c>
      <c r="F28">
        <v>5</v>
      </c>
    </row>
    <row r="29" spans="5:6" x14ac:dyDescent="0.35">
      <c r="E29" s="6" t="s">
        <v>17</v>
      </c>
      <c r="F29">
        <v>5</v>
      </c>
    </row>
    <row r="30" spans="5:6" x14ac:dyDescent="0.35">
      <c r="E30" s="6" t="s">
        <v>28</v>
      </c>
      <c r="F30">
        <v>3</v>
      </c>
    </row>
    <row r="31" spans="5:6" x14ac:dyDescent="0.35">
      <c r="E31" s="6" t="s">
        <v>50</v>
      </c>
      <c r="F31">
        <v>17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workbookViewId="0">
      <selection activeCell="J29" sqref="J29"/>
    </sheetView>
  </sheetViews>
  <sheetFormatPr defaultRowHeight="14.5" x14ac:dyDescent="0.35"/>
  <cols>
    <col min="1" max="1" width="20" bestFit="1" customWidth="1"/>
    <col min="2" max="2" width="20" style="2" bestFit="1" customWidth="1"/>
    <col min="3" max="3" width="20" bestFit="1" customWidth="1"/>
    <col min="4" max="4" width="20" style="3" customWidth="1"/>
    <col min="5" max="8" width="20" bestFit="1" customWidth="1"/>
    <col min="9" max="9" width="23" customWidth="1"/>
    <col min="10" max="14" width="20" bestFit="1" customWidth="1"/>
  </cols>
  <sheetData>
    <row r="1" spans="1:14" x14ac:dyDescent="0.35">
      <c r="A1" t="s">
        <v>0</v>
      </c>
      <c r="B1" s="2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f>ROW() - ROW(OfficeForms.Table[[#Headers],[Id]])</f>
        <v>1</v>
      </c>
      <c r="B2" s="2">
        <v>46311.0075462963</v>
      </c>
      <c r="C2" s="2">
        <v>46311.009166666663</v>
      </c>
      <c r="D2" s="3">
        <f t="shared" ref="D2:D17" si="0">C2-B2</f>
        <v>1.6203703635255806E-3</v>
      </c>
      <c r="E2" t="s">
        <v>14</v>
      </c>
      <c r="G2">
        <v>5</v>
      </c>
      <c r="H2" t="s">
        <v>15</v>
      </c>
      <c r="I2" t="s">
        <v>16</v>
      </c>
      <c r="L2" t="s">
        <v>18</v>
      </c>
      <c r="M2" t="s">
        <v>19</v>
      </c>
      <c r="N2" t="s">
        <v>20</v>
      </c>
    </row>
    <row r="3" spans="1:14" x14ac:dyDescent="0.35">
      <c r="A3">
        <f>ROW() - ROW(OfficeForms.Table[[#Headers],[Id]])</f>
        <v>2</v>
      </c>
      <c r="B3" s="2">
        <v>46311.572835648149</v>
      </c>
      <c r="C3" s="2">
        <v>46311.574930555558</v>
      </c>
      <c r="D3" s="3">
        <f t="shared" si="0"/>
        <v>2.0949074096279219E-3</v>
      </c>
      <c r="E3" t="s">
        <v>14</v>
      </c>
      <c r="G3">
        <v>5</v>
      </c>
      <c r="H3" t="s">
        <v>15</v>
      </c>
      <c r="I3" t="s">
        <v>21</v>
      </c>
      <c r="J3" t="s">
        <v>22</v>
      </c>
      <c r="L3" t="s">
        <v>23</v>
      </c>
      <c r="M3" t="s">
        <v>19</v>
      </c>
      <c r="N3" t="s">
        <v>24</v>
      </c>
    </row>
    <row r="4" spans="1:14" x14ac:dyDescent="0.35">
      <c r="A4">
        <f>ROW() - ROW(OfficeForms.Table[[#Headers],[Id]])</f>
        <v>3</v>
      </c>
      <c r="B4" s="2">
        <v>46311.704236111109</v>
      </c>
      <c r="C4" s="2">
        <v>46311.706921296296</v>
      </c>
      <c r="D4" s="3">
        <f t="shared" si="0"/>
        <v>2.6851851871469989E-3</v>
      </c>
      <c r="E4" t="s">
        <v>14</v>
      </c>
      <c r="G4">
        <v>4</v>
      </c>
      <c r="H4" t="s">
        <v>15</v>
      </c>
      <c r="I4" t="s">
        <v>16</v>
      </c>
      <c r="J4" t="s">
        <v>25</v>
      </c>
      <c r="L4" t="s">
        <v>18</v>
      </c>
      <c r="M4" t="s">
        <v>19</v>
      </c>
    </row>
    <row r="5" spans="1:14" x14ac:dyDescent="0.35">
      <c r="A5">
        <f>ROW() - ROW(OfficeForms.Table[[#Headers],[Id]])</f>
        <v>4</v>
      </c>
      <c r="B5" s="2">
        <v>46311.724050925928</v>
      </c>
      <c r="C5" s="2">
        <v>46311.725138888891</v>
      </c>
      <c r="D5" s="3">
        <f t="shared" si="0"/>
        <v>1.0879629626288079E-3</v>
      </c>
      <c r="E5" t="s">
        <v>14</v>
      </c>
      <c r="G5">
        <v>5</v>
      </c>
      <c r="H5" t="s">
        <v>15</v>
      </c>
      <c r="I5" t="s">
        <v>16</v>
      </c>
      <c r="J5" t="s">
        <v>22</v>
      </c>
      <c r="L5" t="s">
        <v>18</v>
      </c>
      <c r="M5" t="s">
        <v>26</v>
      </c>
      <c r="N5" t="s">
        <v>27</v>
      </c>
    </row>
    <row r="6" spans="1:14" x14ac:dyDescent="0.35">
      <c r="A6">
        <f>ROW() - ROW(OfficeForms.Table[[#Headers],[Id]])</f>
        <v>5</v>
      </c>
      <c r="B6" s="2">
        <v>46311.724675925929</v>
      </c>
      <c r="C6" s="2">
        <v>46311.725416666668</v>
      </c>
      <c r="D6" s="3">
        <f t="shared" si="0"/>
        <v>7.4074073927477002E-4</v>
      </c>
      <c r="E6" t="s">
        <v>14</v>
      </c>
      <c r="G6">
        <v>5</v>
      </c>
      <c r="H6" t="s">
        <v>15</v>
      </c>
      <c r="I6" t="s">
        <v>21</v>
      </c>
      <c r="J6" t="s">
        <v>22</v>
      </c>
      <c r="L6" t="s">
        <v>23</v>
      </c>
      <c r="M6" t="s">
        <v>26</v>
      </c>
    </row>
    <row r="7" spans="1:14" x14ac:dyDescent="0.35">
      <c r="A7">
        <f>ROW() - ROW(OfficeForms.Table[[#Headers],[Id]])</f>
        <v>6</v>
      </c>
      <c r="B7" s="2">
        <v>46311.737650462965</v>
      </c>
      <c r="C7" s="2">
        <v>46311.740104166667</v>
      </c>
      <c r="D7" s="3">
        <f t="shared" si="0"/>
        <v>2.4537037024856545E-3</v>
      </c>
      <c r="E7" t="s">
        <v>14</v>
      </c>
      <c r="G7">
        <v>4</v>
      </c>
      <c r="H7" t="s">
        <v>15</v>
      </c>
      <c r="I7" t="s">
        <v>16</v>
      </c>
      <c r="J7" t="s">
        <v>28</v>
      </c>
      <c r="K7" t="s">
        <v>29</v>
      </c>
      <c r="L7" t="s">
        <v>23</v>
      </c>
      <c r="M7" t="s">
        <v>30</v>
      </c>
      <c r="N7" t="s">
        <v>31</v>
      </c>
    </row>
    <row r="8" spans="1:14" x14ac:dyDescent="0.35">
      <c r="A8">
        <f>ROW() - ROW(OfficeForms.Table[[#Headers],[Id]])</f>
        <v>7</v>
      </c>
      <c r="B8" s="2">
        <v>46311.744155092594</v>
      </c>
      <c r="C8" s="2">
        <v>46311.744699074072</v>
      </c>
      <c r="D8" s="3">
        <f t="shared" si="0"/>
        <v>5.4398147767642513E-4</v>
      </c>
      <c r="E8" t="s">
        <v>14</v>
      </c>
      <c r="G8">
        <v>5</v>
      </c>
      <c r="H8" t="s">
        <v>15</v>
      </c>
      <c r="I8" t="s">
        <v>21</v>
      </c>
      <c r="J8" t="s">
        <v>28</v>
      </c>
      <c r="K8" t="s">
        <v>32</v>
      </c>
      <c r="L8" t="s">
        <v>23</v>
      </c>
      <c r="M8" t="s">
        <v>26</v>
      </c>
    </row>
    <row r="9" spans="1:14" x14ac:dyDescent="0.35">
      <c r="A9">
        <f>ROW() - ROW(OfficeForms.Table[[#Headers],[Id]])</f>
        <v>8</v>
      </c>
      <c r="B9" s="2">
        <v>46311.752476851849</v>
      </c>
      <c r="C9" s="2">
        <v>46311.75371527778</v>
      </c>
      <c r="D9" s="3">
        <f t="shared" si="0"/>
        <v>1.2384259316604584E-3</v>
      </c>
      <c r="E9" t="s">
        <v>14</v>
      </c>
      <c r="G9">
        <v>5</v>
      </c>
      <c r="H9" t="s">
        <v>15</v>
      </c>
      <c r="I9" t="s">
        <v>21</v>
      </c>
      <c r="J9" t="s">
        <v>17</v>
      </c>
      <c r="K9" t="s">
        <v>29</v>
      </c>
      <c r="L9" t="s">
        <v>18</v>
      </c>
      <c r="M9" t="s">
        <v>19</v>
      </c>
    </row>
    <row r="10" spans="1:14" x14ac:dyDescent="0.35">
      <c r="A10">
        <f>ROW() - ROW(OfficeForms.Table[[#Headers],[Id]])</f>
        <v>9</v>
      </c>
      <c r="B10" s="2">
        <v>46311.776365740741</v>
      </c>
      <c r="C10" s="2">
        <v>46311.777013888888</v>
      </c>
      <c r="D10" s="3">
        <f t="shared" si="0"/>
        <v>6.4814814686542377E-4</v>
      </c>
      <c r="E10" t="s">
        <v>14</v>
      </c>
      <c r="G10">
        <v>4</v>
      </c>
      <c r="H10" t="s">
        <v>33</v>
      </c>
      <c r="I10" t="s">
        <v>34</v>
      </c>
      <c r="J10" t="s">
        <v>17</v>
      </c>
      <c r="K10" t="s">
        <v>35</v>
      </c>
      <c r="L10" t="s">
        <v>36</v>
      </c>
      <c r="M10" t="s">
        <v>19</v>
      </c>
      <c r="N10" t="s">
        <v>37</v>
      </c>
    </row>
    <row r="11" spans="1:14" x14ac:dyDescent="0.35">
      <c r="A11">
        <f>ROW() - ROW(OfficeForms.Table[[#Headers],[Id]])</f>
        <v>10</v>
      </c>
      <c r="B11" s="2">
        <v>46311.820127314815</v>
      </c>
      <c r="C11" s="2">
        <v>46311.820763888885</v>
      </c>
      <c r="D11" s="3">
        <f t="shared" si="0"/>
        <v>6.3657407008577138E-4</v>
      </c>
      <c r="E11" t="s">
        <v>14</v>
      </c>
      <c r="G11">
        <v>4</v>
      </c>
      <c r="H11" t="s">
        <v>33</v>
      </c>
      <c r="I11" t="s">
        <v>16</v>
      </c>
      <c r="J11" t="s">
        <v>25</v>
      </c>
      <c r="K11" t="s">
        <v>35</v>
      </c>
      <c r="L11" t="s">
        <v>18</v>
      </c>
      <c r="M11" t="s">
        <v>19</v>
      </c>
    </row>
    <row r="12" spans="1:14" x14ac:dyDescent="0.35">
      <c r="A12">
        <f>ROW() - ROW(OfficeForms.Table[[#Headers],[Id]])</f>
        <v>11</v>
      </c>
      <c r="B12" s="2">
        <v>46311.873101851852</v>
      </c>
      <c r="C12" s="2">
        <v>46311.873668981483</v>
      </c>
      <c r="D12" s="3">
        <f t="shared" si="0"/>
        <v>5.671296312357299E-4</v>
      </c>
      <c r="E12" t="s">
        <v>14</v>
      </c>
      <c r="G12">
        <v>5</v>
      </c>
      <c r="H12" t="s">
        <v>15</v>
      </c>
      <c r="I12" t="s">
        <v>16</v>
      </c>
      <c r="J12" t="s">
        <v>22</v>
      </c>
      <c r="K12" t="s">
        <v>32</v>
      </c>
      <c r="L12" t="s">
        <v>18</v>
      </c>
      <c r="M12" t="s">
        <v>38</v>
      </c>
    </row>
    <row r="13" spans="1:14" x14ac:dyDescent="0.35">
      <c r="A13">
        <f>ROW() - ROW(OfficeForms.Table[[#Headers],[Id]])</f>
        <v>12</v>
      </c>
      <c r="B13" s="2">
        <v>46311.899942129632</v>
      </c>
      <c r="C13" s="2">
        <v>46311.90115740741</v>
      </c>
      <c r="D13" s="3">
        <f t="shared" si="0"/>
        <v>1.2152777781011537E-3</v>
      </c>
      <c r="E13" t="s">
        <v>14</v>
      </c>
      <c r="G13">
        <v>2</v>
      </c>
      <c r="H13" t="s">
        <v>39</v>
      </c>
      <c r="I13" t="s">
        <v>16</v>
      </c>
      <c r="J13" t="s">
        <v>17</v>
      </c>
      <c r="K13" t="s">
        <v>40</v>
      </c>
      <c r="L13" t="s">
        <v>36</v>
      </c>
      <c r="M13" t="s">
        <v>26</v>
      </c>
      <c r="N13" t="s">
        <v>41</v>
      </c>
    </row>
    <row r="14" spans="1:14" x14ac:dyDescent="0.35">
      <c r="A14">
        <f>ROW() - ROW(OfficeForms.Table[[#Headers],[Id]])</f>
        <v>13</v>
      </c>
      <c r="B14" s="2">
        <v>46311.901307870372</v>
      </c>
      <c r="C14" s="2">
        <v>46311.901956018519</v>
      </c>
      <c r="D14" s="3">
        <f t="shared" si="0"/>
        <v>6.4814814686542377E-4</v>
      </c>
      <c r="E14" t="s">
        <v>14</v>
      </c>
      <c r="G14">
        <v>3</v>
      </c>
      <c r="H14" t="s">
        <v>33</v>
      </c>
      <c r="I14" t="s">
        <v>34</v>
      </c>
      <c r="J14" t="s">
        <v>25</v>
      </c>
      <c r="K14" t="s">
        <v>32</v>
      </c>
      <c r="L14" t="s">
        <v>18</v>
      </c>
      <c r="M14" t="s">
        <v>30</v>
      </c>
    </row>
    <row r="15" spans="1:14" x14ac:dyDescent="0.35">
      <c r="A15">
        <f>ROW() - ROW(OfficeForms.Table[[#Headers],[Id]])</f>
        <v>14</v>
      </c>
      <c r="B15" s="2">
        <v>46311.931192129632</v>
      </c>
      <c r="C15" s="2">
        <v>46311.932164351849</v>
      </c>
      <c r="D15" s="3">
        <f t="shared" si="0"/>
        <v>9.7222221666015685E-4</v>
      </c>
      <c r="E15" t="s">
        <v>14</v>
      </c>
      <c r="G15">
        <v>3</v>
      </c>
      <c r="H15" t="s">
        <v>39</v>
      </c>
      <c r="I15" t="s">
        <v>16</v>
      </c>
      <c r="J15" t="s">
        <v>17</v>
      </c>
      <c r="K15" t="s">
        <v>35</v>
      </c>
      <c r="L15" t="s">
        <v>18</v>
      </c>
      <c r="M15" t="s">
        <v>38</v>
      </c>
      <c r="N15" t="s">
        <v>42</v>
      </c>
    </row>
    <row r="16" spans="1:14" x14ac:dyDescent="0.35">
      <c r="A16">
        <f>ROW() - ROW(OfficeForms.Table[[#Headers],[Id]])</f>
        <v>15</v>
      </c>
      <c r="B16" s="2">
        <v>46311.932997685188</v>
      </c>
      <c r="C16" s="2">
        <v>46311.935393518521</v>
      </c>
      <c r="D16" s="3">
        <f t="shared" si="0"/>
        <v>2.3958333331393078E-3</v>
      </c>
      <c r="E16" t="s">
        <v>14</v>
      </c>
      <c r="G16">
        <v>5</v>
      </c>
      <c r="H16" t="s">
        <v>33</v>
      </c>
      <c r="I16" t="s">
        <v>16</v>
      </c>
      <c r="J16" t="s">
        <v>28</v>
      </c>
      <c r="K16" t="s">
        <v>29</v>
      </c>
      <c r="L16" t="s">
        <v>23</v>
      </c>
      <c r="M16" t="s">
        <v>30</v>
      </c>
      <c r="N16" t="s">
        <v>43</v>
      </c>
    </row>
    <row r="17" spans="1:14" x14ac:dyDescent="0.35">
      <c r="A17">
        <f>ROW() - ROW(OfficeForms.Table[[#Headers],[Id]])</f>
        <v>16</v>
      </c>
      <c r="B17" s="2">
        <v>46311.954895833303</v>
      </c>
      <c r="C17" s="2">
        <v>46311.9559143519</v>
      </c>
      <c r="D17" s="3">
        <f t="shared" si="0"/>
        <v>1.0185185965383425E-3</v>
      </c>
      <c r="E17" s="1" t="s">
        <v>14</v>
      </c>
      <c r="F17" s="1"/>
      <c r="G17">
        <v>4</v>
      </c>
      <c r="H17" s="1" t="s">
        <v>33</v>
      </c>
      <c r="I17" s="1" t="s">
        <v>34</v>
      </c>
      <c r="J17" s="1" t="s">
        <v>25</v>
      </c>
      <c r="K17" s="1" t="s">
        <v>35</v>
      </c>
      <c r="L17" s="1" t="s">
        <v>23</v>
      </c>
      <c r="M17" s="1" t="s">
        <v>19</v>
      </c>
      <c r="N17" s="1" t="s">
        <v>44</v>
      </c>
    </row>
    <row r="18" spans="1:14" x14ac:dyDescent="0.35">
      <c r="A18">
        <f>ROW() - ROW(OfficeForms.Table[[#Headers],[Id]])</f>
        <v>17</v>
      </c>
      <c r="B18" s="2">
        <v>46312.411597222199</v>
      </c>
      <c r="C18" s="2">
        <v>46312.415787037004</v>
      </c>
      <c r="D18" s="3">
        <f>C18-B18</f>
        <v>4.1898148047039285E-3</v>
      </c>
      <c r="E18" s="1" t="s">
        <v>14</v>
      </c>
      <c r="F18" s="1"/>
      <c r="G18">
        <v>5</v>
      </c>
      <c r="H18" s="1" t="s">
        <v>33</v>
      </c>
      <c r="I18" s="1" t="s">
        <v>16</v>
      </c>
      <c r="J18" s="1" t="s">
        <v>25</v>
      </c>
      <c r="K18" s="1" t="s">
        <v>45</v>
      </c>
      <c r="L18" s="1" t="s">
        <v>18</v>
      </c>
      <c r="M18" s="1" t="s">
        <v>38</v>
      </c>
      <c r="N18" s="1" t="s">
        <v>46</v>
      </c>
    </row>
    <row r="19" spans="1:14" x14ac:dyDescent="0.35">
      <c r="C19" s="2"/>
      <c r="D19" s="3">
        <f>AVERAGE(D2:D18)</f>
        <v>1.4562908528365798E-3</v>
      </c>
      <c r="E19" s="1"/>
      <c r="F19" s="1"/>
      <c r="H19" t="s">
        <v>47</v>
      </c>
      <c r="I19" s="1" t="s">
        <v>48</v>
      </c>
      <c r="J19" s="1"/>
      <c r="K19" s="1"/>
      <c r="L19" s="1"/>
      <c r="M19" s="1"/>
      <c r="N19" s="1"/>
    </row>
    <row r="20" spans="1:14" ht="15" customHeight="1" x14ac:dyDescent="0.35">
      <c r="H20">
        <f>SUM(COUNTIF(H2:H17, "Good"), COUNTIF(H2:H17, "Excellent"))</f>
        <v>14</v>
      </c>
      <c r="I20" s="4" cm="1">
        <f t="array" ref="I20">AVERAGE(_xlfn.SWITCH(I2:I18, "Very poor value", 0, "Poor value", 1,
"Fair value", 2, "Good value", 3, "Very good value", 4))</f>
        <v>3.0588235294117645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</vt:lpstr>
      <vt:lpstr>Survey_data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djeneba sacko</cp:lastModifiedBy>
  <cp:revision/>
  <dcterms:created xsi:type="dcterms:W3CDTF">2026-10-17T02:33:57Z</dcterms:created>
  <dcterms:modified xsi:type="dcterms:W3CDTF">2026-10-17T15:37:48Z</dcterms:modified>
  <cp:category/>
  <cp:contentStatus/>
</cp:coreProperties>
</file>